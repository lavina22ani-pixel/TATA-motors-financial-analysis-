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9e2eab928a2399/Desktop/Tata motors financial analysis/"/>
    </mc:Choice>
  </mc:AlternateContent>
  <xr:revisionPtr revIDLastSave="5" documentId="8_{0BF3BE38-379D-4ACA-B9E4-F7F53F312124}" xr6:coauthVersionLast="47" xr6:coauthVersionMax="47" xr10:uidLastSave="{6BE8D256-4553-4DBE-873D-1C67BAA1076E}"/>
  <bookViews>
    <workbookView xWindow="-120" yWindow="-120" windowWidth="20730" windowHeight="11040" activeTab="3" xr2:uid="{7FB25FA8-6211-4568-830A-CE317797ECE5}"/>
  </bookViews>
  <sheets>
    <sheet name="raw data" sheetId="1" r:id="rId1"/>
    <sheet name="calculations" sheetId="2" r:id="rId2"/>
    <sheet name="CHARTS" sheetId="3" r:id="rId3"/>
    <sheet name="dashboard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5" l="1"/>
  <c r="B7" i="5"/>
  <c r="D7" i="5"/>
  <c r="F7" i="5"/>
  <c r="H7" i="5"/>
  <c r="J7" i="5"/>
  <c r="L7" i="5"/>
  <c r="B12" i="2"/>
  <c r="C12" i="2"/>
  <c r="D12" i="2"/>
  <c r="E12" i="2"/>
  <c r="F12" i="2"/>
  <c r="E11" i="2"/>
  <c r="F11" i="2"/>
  <c r="D11" i="2"/>
  <c r="C11" i="2"/>
  <c r="C10" i="2"/>
  <c r="D10" i="2"/>
  <c r="E10" i="2"/>
  <c r="F10" i="2"/>
  <c r="B10" i="2"/>
  <c r="C9" i="2"/>
  <c r="D9" i="2"/>
  <c r="E9" i="2"/>
  <c r="F9" i="2"/>
  <c r="B9" i="2"/>
  <c r="B7" i="2"/>
  <c r="C8" i="2"/>
  <c r="D8" i="2"/>
  <c r="E8" i="2"/>
  <c r="F8" i="2"/>
  <c r="B8" i="2"/>
  <c r="C7" i="2"/>
  <c r="D7" i="2"/>
  <c r="E7" i="2"/>
  <c r="F7" i="2"/>
  <c r="C6" i="2"/>
  <c r="D6" i="2"/>
  <c r="E6" i="2"/>
  <c r="F6" i="2"/>
  <c r="B6" i="2"/>
  <c r="C5" i="2"/>
  <c r="D5" i="2"/>
  <c r="E5" i="2"/>
  <c r="F5" i="2"/>
  <c r="B5" i="2"/>
  <c r="D4" i="2"/>
  <c r="E4" i="2"/>
  <c r="F4" i="2"/>
  <c r="C4" i="2"/>
</calcChain>
</file>

<file path=xl/sharedStrings.xml><?xml version="1.0" encoding="utf-8"?>
<sst xmlns="http://schemas.openxmlformats.org/spreadsheetml/2006/main" count="53" uniqueCount="47">
  <si>
    <t>Particulars</t>
  </si>
  <si>
    <t>FY2021</t>
  </si>
  <si>
    <t>FY2022</t>
  </si>
  <si>
    <t>FY2023</t>
  </si>
  <si>
    <t>FY2024</t>
  </si>
  <si>
    <t>FY2025</t>
  </si>
  <si>
    <t>REVENUE</t>
  </si>
  <si>
    <t>EBITDA</t>
  </si>
  <si>
    <t xml:space="preserve">EBIT </t>
  </si>
  <si>
    <t>PROFIT AFTER TAX (PAT)</t>
  </si>
  <si>
    <t>TOTAL DEBT</t>
  </si>
  <si>
    <t>EPS</t>
  </si>
  <si>
    <t xml:space="preserve">TATA MOTORS FINANCIAL DATA </t>
  </si>
  <si>
    <t>FINANCIAL YEARS : FY2021 TO 2025</t>
  </si>
  <si>
    <t xml:space="preserve">SOURCE : ANNUAL REPORT /COMPANY FINANCIAL STATEMENT </t>
  </si>
  <si>
    <t xml:space="preserve">FY2022 </t>
  </si>
  <si>
    <t xml:space="preserve">FY2024 </t>
  </si>
  <si>
    <t xml:space="preserve">FY2025 </t>
  </si>
  <si>
    <t>TOTAL ASSETS</t>
  </si>
  <si>
    <t>SHAREHOLDERS' EQUITY</t>
  </si>
  <si>
    <t>particulars</t>
  </si>
  <si>
    <t>revenue growth %</t>
  </si>
  <si>
    <t>N/A</t>
  </si>
  <si>
    <t>EBITDA MARGIN %</t>
  </si>
  <si>
    <t>EBIT MARGIN %</t>
  </si>
  <si>
    <t>PAT MARGINS %</t>
  </si>
  <si>
    <t>RETURN ON ASSET</t>
  </si>
  <si>
    <t>RETURN ON EQUITY</t>
  </si>
  <si>
    <t>DEBT TO EQUITY</t>
  </si>
  <si>
    <t>EPS GROWTH</t>
  </si>
  <si>
    <t>CONSOLIDATED FINANCIAL ANALSIS| FY2021-2025</t>
  </si>
  <si>
    <t>TATA MOTORS - FINANCIAL CALCULATIONS</t>
  </si>
  <si>
    <t xml:space="preserve">TATA MOTORS - FINACIAL CHARTS </t>
  </si>
  <si>
    <t>NET PROFIT(FY25</t>
  </si>
  <si>
    <t>FY25</t>
  </si>
  <si>
    <t>EPS FY25</t>
  </si>
  <si>
    <t>ROE % FY25</t>
  </si>
  <si>
    <t>DEBT EQUITY FY25</t>
  </si>
  <si>
    <t>YEAR</t>
  </si>
  <si>
    <t>KEY INSIGHTS:</t>
  </si>
  <si>
    <t>Revenue grew from Rs.2.49L Cr(FY21) to Rs. 4.39L Cr (FY25)</t>
  </si>
  <si>
    <t>Company turned from loss to profit , PAT margin improved to X%</t>
  </si>
  <si>
    <t xml:space="preserve">Debt - equity improved, showing stronger solvency </t>
  </si>
  <si>
    <t>EBITDA MARGIN% FY25</t>
  </si>
  <si>
    <t xml:space="preserve"> DEBT TO EBITDA</t>
  </si>
  <si>
    <t xml:space="preserve">Tata Motors - Financial Performance Dashboard </t>
  </si>
  <si>
    <t>consolidated Financial analysis| fy2021-fy2025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</si>
</sst>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₹-4009]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Arial Black"/>
      <family val="2"/>
    </font>
    <font>
      <sz val="11"/>
      <color theme="1"/>
      <name val="Arial Black"/>
      <family val="2"/>
    </font>
    <font>
      <sz val="16"/>
      <color theme="1"/>
      <name val="Arial Black"/>
      <family val="2"/>
    </font>
    <font>
      <sz val="24"/>
      <color theme="1"/>
      <name val="Arial Black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0"/>
      <name val="Arial Black"/>
      <family val="2"/>
    </font>
    <font>
      <sz val="9"/>
      <color theme="1"/>
      <name val="Calibri"/>
      <family val="2"/>
      <scheme val="minor"/>
    </font>
    <font>
      <sz val="12"/>
      <color theme="0"/>
      <name val="Arial Black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2" fillId="4" borderId="1" xfId="0" applyFont="1" applyFill="1" applyBorder="1"/>
    <xf numFmtId="10" fontId="0" fillId="0" borderId="1" xfId="0" applyNumberFormat="1" applyBorder="1"/>
    <xf numFmtId="10" fontId="0" fillId="0" borderId="1" xfId="2" applyNumberFormat="1" applyFont="1" applyBorder="1"/>
    <xf numFmtId="2" fontId="0" fillId="0" borderId="1" xfId="2" applyNumberFormat="1" applyFont="1" applyBorder="1"/>
    <xf numFmtId="2" fontId="0" fillId="0" borderId="1" xfId="0" applyNumberFormat="1" applyBorder="1"/>
    <xf numFmtId="0" fontId="0" fillId="7" borderId="0" xfId="0" applyFill="1"/>
    <xf numFmtId="0" fontId="0" fillId="7" borderId="0" xfId="0" applyFill="1" applyAlignment="1">
      <alignment horizontal="center"/>
    </xf>
    <xf numFmtId="0" fontId="9" fillId="7" borderId="0" xfId="0" applyFont="1" applyFill="1" applyAlignment="1">
      <alignment horizontal="center"/>
    </xf>
    <xf numFmtId="0" fontId="0" fillId="6" borderId="2" xfId="0" applyFill="1" applyBorder="1"/>
    <xf numFmtId="0" fontId="0" fillId="6" borderId="3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10" fillId="6" borderId="2" xfId="0" applyFont="1" applyFill="1" applyBorder="1"/>
    <xf numFmtId="0" fontId="10" fillId="6" borderId="3" xfId="0" applyFont="1" applyFill="1" applyBorder="1"/>
    <xf numFmtId="164" fontId="0" fillId="6" borderId="4" xfId="0" applyNumberFormat="1" applyFill="1" applyBorder="1"/>
    <xf numFmtId="10" fontId="0" fillId="6" borderId="4" xfId="0" applyNumberFormat="1" applyFill="1" applyBorder="1"/>
    <xf numFmtId="2" fontId="0" fillId="6" borderId="4" xfId="0" applyNumberFormat="1" applyFill="1" applyBorder="1"/>
    <xf numFmtId="0" fontId="8" fillId="7" borderId="0" xfId="0" applyFont="1" applyFill="1"/>
    <xf numFmtId="0" fontId="7" fillId="7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8" fillId="7" borderId="0" xfId="0" applyFont="1" applyFill="1" applyAlignment="1">
      <alignment horizontal="left"/>
    </xf>
    <xf numFmtId="0" fontId="0" fillId="7" borderId="0" xfId="0" applyFill="1" applyAlignment="1">
      <alignment horizontal="left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5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6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9" xfId="0" applyFont="1" applyBorder="1"/>
    <xf numFmtId="0" fontId="0" fillId="0" borderId="10" xfId="0" applyFont="1" applyBorder="1"/>
    <xf numFmtId="0" fontId="11" fillId="7" borderId="0" xfId="0" applyFont="1" applyFill="1" applyAlignment="1">
      <alignment horizontal="left"/>
    </xf>
    <xf numFmtId="0" fontId="7" fillId="2" borderId="2" xfId="0" applyFont="1" applyFill="1" applyBorder="1"/>
    <xf numFmtId="0" fontId="7" fillId="2" borderId="12" xfId="0" applyFont="1" applyFill="1" applyBorder="1"/>
    <xf numFmtId="0" fontId="0" fillId="8" borderId="13" xfId="0" applyFont="1" applyFill="1" applyBorder="1"/>
    <xf numFmtId="164" fontId="0" fillId="8" borderId="8" xfId="1" applyNumberFormat="1" applyFont="1" applyFill="1" applyBorder="1"/>
    <xf numFmtId="164" fontId="0" fillId="8" borderId="14" xfId="1" applyNumberFormat="1" applyFont="1" applyFill="1" applyBorder="1"/>
    <xf numFmtId="0" fontId="0" fillId="0" borderId="15" xfId="0" applyFont="1" applyBorder="1"/>
    <xf numFmtId="164" fontId="0" fillId="0" borderId="16" xfId="1" applyNumberFormat="1" applyFont="1" applyBorder="1"/>
    <xf numFmtId="164" fontId="0" fillId="0" borderId="17" xfId="1" applyNumberFormat="1" applyFont="1" applyBorder="1"/>
    <xf numFmtId="0" fontId="0" fillId="8" borderId="15" xfId="0" applyFont="1" applyFill="1" applyBorder="1"/>
    <xf numFmtId="164" fontId="0" fillId="8" borderId="16" xfId="1" applyNumberFormat="1" applyFont="1" applyFill="1" applyBorder="1"/>
    <xf numFmtId="164" fontId="0" fillId="8" borderId="17" xfId="1" applyNumberFormat="1" applyFont="1" applyFill="1" applyBorder="1"/>
    <xf numFmtId="4" fontId="0" fillId="8" borderId="16" xfId="0" applyNumberFormat="1" applyFont="1" applyFill="1" applyBorder="1"/>
    <xf numFmtId="0" fontId="0" fillId="0" borderId="10" xfId="1" applyNumberFormat="1" applyFont="1" applyBorder="1"/>
    <xf numFmtId="2" fontId="0" fillId="0" borderId="10" xfId="1" applyNumberFormat="1" applyFont="1" applyBorder="1"/>
    <xf numFmtId="2" fontId="0" fillId="0" borderId="11" xfId="1" applyNumberFormat="1" applyFon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1F38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TATA MOTORS REVENUE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 data'!$A$7</c:f>
              <c:strCache>
                <c:ptCount val="1"/>
                <c:pt idx="0">
                  <c:v>REVENUE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'raw data'!$B$6:$F$6</c:f>
              <c:strCache>
                <c:ptCount val="5"/>
                <c:pt idx="0">
                  <c:v>FY2021</c:v>
                </c:pt>
                <c:pt idx="1">
                  <c:v>FY2022 </c:v>
                </c:pt>
                <c:pt idx="2">
                  <c:v>FY2023</c:v>
                </c:pt>
                <c:pt idx="3">
                  <c:v>FY2024 </c:v>
                </c:pt>
                <c:pt idx="4">
                  <c:v>FY2025 </c:v>
                </c:pt>
              </c:strCache>
            </c:strRef>
          </c:cat>
          <c:val>
            <c:numRef>
              <c:f>'raw data'!$B$7:$F$7</c:f>
              <c:numCache>
                <c:formatCode>[$₹-4009]\ #,##0.00</c:formatCode>
                <c:ptCount val="5"/>
                <c:pt idx="0">
                  <c:v>249795</c:v>
                </c:pt>
                <c:pt idx="1">
                  <c:v>278454</c:v>
                </c:pt>
                <c:pt idx="2">
                  <c:v>345967</c:v>
                </c:pt>
                <c:pt idx="3">
                  <c:v>434016</c:v>
                </c:pt>
                <c:pt idx="4">
                  <c:v>439695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7C-4E74-B81D-84FFF297C4D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34371135"/>
        <c:axId val="80719967"/>
      </c:lineChart>
      <c:catAx>
        <c:axId val="534371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19967"/>
        <c:crosses val="autoZero"/>
        <c:auto val="1"/>
        <c:lblAlgn val="ctr"/>
        <c:lblOffset val="100"/>
        <c:noMultiLvlLbl val="0"/>
      </c:catAx>
      <c:valAx>
        <c:axId val="8071996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crossAx val="534371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TATA MOTORS EBITDA TREND </a:t>
            </a:r>
          </a:p>
        </c:rich>
      </c:tx>
      <c:layout>
        <c:manualLayout>
          <c:xMode val="edge"/>
          <c:yMode val="edge"/>
          <c:x val="0.1243193350831146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 data'!$A$8</c:f>
              <c:strCache>
                <c:ptCount val="1"/>
                <c:pt idx="0">
                  <c:v>EBITDA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'raw data'!$B$6:$F$6</c:f>
              <c:strCache>
                <c:ptCount val="5"/>
                <c:pt idx="0">
                  <c:v>FY2021</c:v>
                </c:pt>
                <c:pt idx="1">
                  <c:v>FY2022 </c:v>
                </c:pt>
                <c:pt idx="2">
                  <c:v>FY2023</c:v>
                </c:pt>
                <c:pt idx="3">
                  <c:v>FY2024 </c:v>
                </c:pt>
                <c:pt idx="4">
                  <c:v>FY2025 </c:v>
                </c:pt>
              </c:strCache>
            </c:strRef>
          </c:cat>
          <c:val>
            <c:numRef>
              <c:f>'raw data'!$B$8:$F$8</c:f>
              <c:numCache>
                <c:formatCode>[$₹-4009]\ #,##0.00</c:formatCode>
                <c:ptCount val="5"/>
                <c:pt idx="0">
                  <c:v>30397</c:v>
                </c:pt>
                <c:pt idx="1">
                  <c:v>26721</c:v>
                </c:pt>
                <c:pt idx="2">
                  <c:v>34796</c:v>
                </c:pt>
                <c:pt idx="3">
                  <c:v>62800</c:v>
                </c:pt>
                <c:pt idx="4">
                  <c:v>57600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83-4650-9CA9-5039436AF22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67497343"/>
        <c:axId val="1538757487"/>
      </c:lineChart>
      <c:catAx>
        <c:axId val="186749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757487"/>
        <c:crosses val="autoZero"/>
        <c:auto val="1"/>
        <c:lblAlgn val="ctr"/>
        <c:lblOffset val="100"/>
        <c:noMultiLvlLbl val="0"/>
      </c:catAx>
      <c:valAx>
        <c:axId val="153875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49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TATA MOTORS PROFIT AFTER TAX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 data'!$A$10</c:f>
              <c:strCache>
                <c:ptCount val="1"/>
                <c:pt idx="0">
                  <c:v>PROFIT AFTER TAX (PAT)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'raw data'!$B$6:$F$6</c:f>
              <c:strCache>
                <c:ptCount val="5"/>
                <c:pt idx="0">
                  <c:v>FY2021</c:v>
                </c:pt>
                <c:pt idx="1">
                  <c:v>FY2022 </c:v>
                </c:pt>
                <c:pt idx="2">
                  <c:v>FY2023</c:v>
                </c:pt>
                <c:pt idx="3">
                  <c:v>FY2024 </c:v>
                </c:pt>
                <c:pt idx="4">
                  <c:v>FY2025 </c:v>
                </c:pt>
              </c:strCache>
            </c:strRef>
          </c:cat>
          <c:val>
            <c:numRef>
              <c:f>'raw data'!$B$10:$F$10</c:f>
              <c:numCache>
                <c:formatCode>[$₹-4009]\ #,##0.00</c:formatCode>
                <c:ptCount val="5"/>
                <c:pt idx="0">
                  <c:v>-13395.1</c:v>
                </c:pt>
                <c:pt idx="1">
                  <c:v>-11411</c:v>
                </c:pt>
                <c:pt idx="2">
                  <c:v>2690</c:v>
                </c:pt>
                <c:pt idx="3">
                  <c:v>31807</c:v>
                </c:pt>
                <c:pt idx="4">
                  <c:v>28149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11-46FE-861F-E49876CC363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55311567"/>
        <c:axId val="1538745007"/>
      </c:lineChart>
      <c:catAx>
        <c:axId val="1855311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745007"/>
        <c:crosses val="autoZero"/>
        <c:auto val="1"/>
        <c:lblAlgn val="ctr"/>
        <c:lblOffset val="100"/>
        <c:noMultiLvlLbl val="0"/>
      </c:catAx>
      <c:valAx>
        <c:axId val="153874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311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TATA MOTORS PROFITABILITY MARGINS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calculations!$A$5</c:f>
              <c:strCache>
                <c:ptCount val="1"/>
                <c:pt idx="0">
                  <c:v>EBITDA MARGIN %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calculations!$B$3:$F$3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calculations!$B$5:$F$5</c:f>
              <c:numCache>
                <c:formatCode>0.00%</c:formatCode>
                <c:ptCount val="5"/>
                <c:pt idx="0">
                  <c:v>0.12168778398286595</c:v>
                </c:pt>
                <c:pt idx="1">
                  <c:v>9.5961990131224542E-2</c:v>
                </c:pt>
                <c:pt idx="2">
                  <c:v>0.10057606650345265</c:v>
                </c:pt>
                <c:pt idx="3">
                  <c:v>0.14469512644695126</c:v>
                </c:pt>
                <c:pt idx="4">
                  <c:v>0.13099989765632997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CC-497B-980C-571E84B545E6}"/>
            </c:ext>
          </c:extLst>
        </c:ser>
        <c:ser>
          <c:idx val="1"/>
          <c:order val="1"/>
          <c:tx>
            <c:strRef>
              <c:f>calculations!$A$6</c:f>
              <c:strCache>
                <c:ptCount val="1"/>
                <c:pt idx="0">
                  <c:v>EBIT MARGIN %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calculations!$B$3:$F$3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calculations!$B$6:$F$6</c:f>
              <c:numCache>
                <c:formatCode>0.00%</c:formatCode>
                <c:ptCount val="5"/>
                <c:pt idx="0">
                  <c:v>2.5905242298684922E-2</c:v>
                </c:pt>
                <c:pt idx="1">
                  <c:v>6.9993607561751672E-3</c:v>
                </c:pt>
                <c:pt idx="2">
                  <c:v>5.001633103735327E-2</c:v>
                </c:pt>
                <c:pt idx="3">
                  <c:v>8.2946250829462512E-2</c:v>
                </c:pt>
                <c:pt idx="4">
                  <c:v>7.8918341122823782E-2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CC-497B-980C-571E84B545E6}"/>
            </c:ext>
          </c:extLst>
        </c:ser>
        <c:ser>
          <c:idx val="2"/>
          <c:order val="2"/>
          <c:tx>
            <c:strRef>
              <c:f>calculations!$A$7</c:f>
              <c:strCache>
                <c:ptCount val="1"/>
                <c:pt idx="0">
                  <c:v>PAT MARGINS %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calculations!$B$3:$F$3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calculations!$B$7:$F$7</c:f>
              <c:numCache>
                <c:formatCode>0.00%</c:formatCode>
                <c:ptCount val="5"/>
                <c:pt idx="0">
                  <c:v>-5.3624371985027723E-2</c:v>
                </c:pt>
                <c:pt idx="1">
                  <c:v>-4.0979838680715669E-2</c:v>
                </c:pt>
                <c:pt idx="2">
                  <c:v>7.7753080496116679E-3</c:v>
                </c:pt>
                <c:pt idx="3">
                  <c:v>7.3285316670353165E-2</c:v>
                </c:pt>
                <c:pt idx="4">
                  <c:v>6.4019377068194994E-2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CC-497B-980C-571E84B545E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77442831"/>
        <c:axId val="1538863087"/>
      </c:lineChart>
      <c:catAx>
        <c:axId val="187744283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863087"/>
        <c:crosses val="autoZero"/>
        <c:auto val="1"/>
        <c:lblAlgn val="ctr"/>
        <c:lblOffset val="100"/>
        <c:noMultiLvlLbl val="0"/>
      </c:catAx>
      <c:valAx>
        <c:axId val="153886308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442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TATA MOTORS REVENUE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 data'!$A$7</c:f>
              <c:strCache>
                <c:ptCount val="1"/>
                <c:pt idx="0">
                  <c:v>REVENUE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'raw data'!$B$6:$F$6</c:f>
              <c:strCache>
                <c:ptCount val="5"/>
                <c:pt idx="0">
                  <c:v>FY2021</c:v>
                </c:pt>
                <c:pt idx="1">
                  <c:v>FY2022 </c:v>
                </c:pt>
                <c:pt idx="2">
                  <c:v>FY2023</c:v>
                </c:pt>
                <c:pt idx="3">
                  <c:v>FY2024 </c:v>
                </c:pt>
                <c:pt idx="4">
                  <c:v>FY2025 </c:v>
                </c:pt>
              </c:strCache>
            </c:strRef>
          </c:cat>
          <c:val>
            <c:numRef>
              <c:f>'raw data'!$B$7:$F$7</c:f>
              <c:numCache>
                <c:formatCode>[$₹-4009]\ #,##0.00</c:formatCode>
                <c:ptCount val="5"/>
                <c:pt idx="0">
                  <c:v>249795</c:v>
                </c:pt>
                <c:pt idx="1">
                  <c:v>278454</c:v>
                </c:pt>
                <c:pt idx="2">
                  <c:v>345967</c:v>
                </c:pt>
                <c:pt idx="3">
                  <c:v>434016</c:v>
                </c:pt>
                <c:pt idx="4">
                  <c:v>439695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D5-4B68-A42F-5EFB3EEF712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34371135"/>
        <c:axId val="80719967"/>
      </c:lineChart>
      <c:catAx>
        <c:axId val="534371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19967"/>
        <c:crosses val="autoZero"/>
        <c:auto val="1"/>
        <c:lblAlgn val="ctr"/>
        <c:lblOffset val="100"/>
        <c:noMultiLvlLbl val="0"/>
      </c:catAx>
      <c:valAx>
        <c:axId val="80719967"/>
        <c:scaling>
          <c:orientation val="minMax"/>
        </c:scaling>
        <c:delete val="1"/>
        <c:axPos val="l"/>
        <c:numFmt formatCode="[$₹-4009]\ #,##0.00" sourceLinked="1"/>
        <c:majorTickMark val="none"/>
        <c:minorTickMark val="none"/>
        <c:tickLblPos val="nextTo"/>
        <c:crossAx val="534371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 TATA MOTORS EBITDA TREND (FOR YEAR 21 TO 25</a:t>
            </a:r>
          </a:p>
        </c:rich>
      </c:tx>
      <c:layout>
        <c:manualLayout>
          <c:xMode val="edge"/>
          <c:yMode val="edge"/>
          <c:x val="0.1243193350831146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 data'!$A$8</c:f>
              <c:strCache>
                <c:ptCount val="1"/>
                <c:pt idx="0">
                  <c:v>EBITDA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'raw data'!$B$6:$F$6</c:f>
              <c:strCache>
                <c:ptCount val="5"/>
                <c:pt idx="0">
                  <c:v>FY2021</c:v>
                </c:pt>
                <c:pt idx="1">
                  <c:v>FY2022 </c:v>
                </c:pt>
                <c:pt idx="2">
                  <c:v>FY2023</c:v>
                </c:pt>
                <c:pt idx="3">
                  <c:v>FY2024 </c:v>
                </c:pt>
                <c:pt idx="4">
                  <c:v>FY2025 </c:v>
                </c:pt>
              </c:strCache>
            </c:strRef>
          </c:cat>
          <c:val>
            <c:numRef>
              <c:f>'raw data'!$B$8:$F$8</c:f>
              <c:numCache>
                <c:formatCode>[$₹-4009]\ #,##0.00</c:formatCode>
                <c:ptCount val="5"/>
                <c:pt idx="0">
                  <c:v>30397</c:v>
                </c:pt>
                <c:pt idx="1">
                  <c:v>26721</c:v>
                </c:pt>
                <c:pt idx="2">
                  <c:v>34796</c:v>
                </c:pt>
                <c:pt idx="3">
                  <c:v>62800</c:v>
                </c:pt>
                <c:pt idx="4">
                  <c:v>57600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B5-4695-AE8B-9DE628C0A1A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67497343"/>
        <c:axId val="1538757487"/>
      </c:lineChart>
      <c:catAx>
        <c:axId val="186749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757487"/>
        <c:crosses val="autoZero"/>
        <c:auto val="1"/>
        <c:lblAlgn val="ctr"/>
        <c:lblOffset val="100"/>
        <c:noMultiLvlLbl val="0"/>
      </c:catAx>
      <c:valAx>
        <c:axId val="1538757487"/>
        <c:scaling>
          <c:orientation val="minMax"/>
        </c:scaling>
        <c:delete val="0"/>
        <c:axPos val="l"/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49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TATA MOTORS PROFIT AFTER TAX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 data'!$A$10</c:f>
              <c:strCache>
                <c:ptCount val="1"/>
                <c:pt idx="0">
                  <c:v>PROFIT AFTER TAX (PAT)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'raw data'!$B$6:$F$6</c:f>
              <c:strCache>
                <c:ptCount val="5"/>
                <c:pt idx="0">
                  <c:v>FY2021</c:v>
                </c:pt>
                <c:pt idx="1">
                  <c:v>FY2022 </c:v>
                </c:pt>
                <c:pt idx="2">
                  <c:v>FY2023</c:v>
                </c:pt>
                <c:pt idx="3">
                  <c:v>FY2024 </c:v>
                </c:pt>
                <c:pt idx="4">
                  <c:v>FY2025 </c:v>
                </c:pt>
              </c:strCache>
            </c:strRef>
          </c:cat>
          <c:val>
            <c:numRef>
              <c:f>'raw data'!$B$10:$F$10</c:f>
              <c:numCache>
                <c:formatCode>[$₹-4009]\ #,##0.00</c:formatCode>
                <c:ptCount val="5"/>
                <c:pt idx="0">
                  <c:v>-13395.1</c:v>
                </c:pt>
                <c:pt idx="1">
                  <c:v>-11411</c:v>
                </c:pt>
                <c:pt idx="2">
                  <c:v>2690</c:v>
                </c:pt>
                <c:pt idx="3">
                  <c:v>31807</c:v>
                </c:pt>
                <c:pt idx="4">
                  <c:v>28149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E6-457B-9FC6-755CBB4E6B9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55311567"/>
        <c:axId val="1538745007"/>
      </c:lineChart>
      <c:catAx>
        <c:axId val="1855311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745007"/>
        <c:crosses val="autoZero"/>
        <c:auto val="1"/>
        <c:lblAlgn val="ctr"/>
        <c:lblOffset val="100"/>
        <c:noMultiLvlLbl val="0"/>
      </c:catAx>
      <c:valAx>
        <c:axId val="1538745007"/>
        <c:scaling>
          <c:orientation val="minMax"/>
        </c:scaling>
        <c:delete val="0"/>
        <c:axPos val="l"/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311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TATA MOTORS PROFITABILITY MARGINS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calculations!$A$5</c:f>
              <c:strCache>
                <c:ptCount val="1"/>
                <c:pt idx="0">
                  <c:v>EBITDA MARGIN %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calculations!$B$3:$F$3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calculations!$B$5:$F$5</c:f>
              <c:numCache>
                <c:formatCode>0.00%</c:formatCode>
                <c:ptCount val="5"/>
                <c:pt idx="0">
                  <c:v>0.12168778398286595</c:v>
                </c:pt>
                <c:pt idx="1">
                  <c:v>9.5961990131224542E-2</c:v>
                </c:pt>
                <c:pt idx="2">
                  <c:v>0.10057606650345265</c:v>
                </c:pt>
                <c:pt idx="3">
                  <c:v>0.14469512644695126</c:v>
                </c:pt>
                <c:pt idx="4">
                  <c:v>0.13099989765632997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72-48DD-8E5B-E522686EF43E}"/>
            </c:ext>
          </c:extLst>
        </c:ser>
        <c:ser>
          <c:idx val="1"/>
          <c:order val="1"/>
          <c:tx>
            <c:strRef>
              <c:f>calculations!$A$6</c:f>
              <c:strCache>
                <c:ptCount val="1"/>
                <c:pt idx="0">
                  <c:v>EBIT MARGIN %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calculations!$B$3:$F$3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calculations!$B$6:$F$6</c:f>
              <c:numCache>
                <c:formatCode>0.00%</c:formatCode>
                <c:ptCount val="5"/>
                <c:pt idx="0">
                  <c:v>2.5905242298684922E-2</c:v>
                </c:pt>
                <c:pt idx="1">
                  <c:v>6.9993607561751672E-3</c:v>
                </c:pt>
                <c:pt idx="2">
                  <c:v>5.001633103735327E-2</c:v>
                </c:pt>
                <c:pt idx="3">
                  <c:v>8.2946250829462512E-2</c:v>
                </c:pt>
                <c:pt idx="4">
                  <c:v>7.8918341122823782E-2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72-48DD-8E5B-E522686EF43E}"/>
            </c:ext>
          </c:extLst>
        </c:ser>
        <c:ser>
          <c:idx val="2"/>
          <c:order val="2"/>
          <c:tx>
            <c:strRef>
              <c:f>calculations!$A$7</c:f>
              <c:strCache>
                <c:ptCount val="1"/>
                <c:pt idx="0">
                  <c:v>PAT MARGINS %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calculations!$B$3:$F$3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calculations!$B$7:$F$7</c:f>
              <c:numCache>
                <c:formatCode>0.00%</c:formatCode>
                <c:ptCount val="5"/>
                <c:pt idx="0">
                  <c:v>-5.3624371985027723E-2</c:v>
                </c:pt>
                <c:pt idx="1">
                  <c:v>-4.0979838680715669E-2</c:v>
                </c:pt>
                <c:pt idx="2">
                  <c:v>7.7753080496116679E-3</c:v>
                </c:pt>
                <c:pt idx="3">
                  <c:v>7.3285316670353165E-2</c:v>
                </c:pt>
                <c:pt idx="4">
                  <c:v>6.4019377068194994E-2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72-48DD-8E5B-E522686EF43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77442831"/>
        <c:axId val="1538863087"/>
      </c:lineChart>
      <c:catAx>
        <c:axId val="187744283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863087"/>
        <c:crosses val="autoZero"/>
        <c:auto val="1"/>
        <c:lblAlgn val="ctr"/>
        <c:lblOffset val="100"/>
        <c:noMultiLvlLbl val="0"/>
      </c:catAx>
      <c:valAx>
        <c:axId val="153886308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442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28575</xdr:rowOff>
    </xdr:from>
    <xdr:to>
      <xdr:col>8</xdr:col>
      <xdr:colOff>304800</xdr:colOff>
      <xdr:row>20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62DEA3-754A-4F7D-8A20-A2ADA2C7F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333375</xdr:colOff>
      <xdr:row>6</xdr:row>
      <xdr:rowOff>47625</xdr:rowOff>
    </xdr:from>
    <xdr:to>
      <xdr:col>16</xdr:col>
      <xdr:colOff>28575</xdr:colOff>
      <xdr:row>20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A6E812-108F-4677-8D88-9D19B2B51E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28575</xdr:colOff>
      <xdr:row>20</xdr:row>
      <xdr:rowOff>114300</xdr:rowOff>
    </xdr:from>
    <xdr:to>
      <xdr:col>8</xdr:col>
      <xdr:colOff>333375</xdr:colOff>
      <xdr:row>35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157288-7D58-422E-9204-E40F2A69F8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352425</xdr:colOff>
      <xdr:row>20</xdr:row>
      <xdr:rowOff>142875</xdr:rowOff>
    </xdr:from>
    <xdr:to>
      <xdr:col>16</xdr:col>
      <xdr:colOff>47625</xdr:colOff>
      <xdr:row>35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10BDEA5-A1BD-4326-AA67-EAC54708D4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8</xdr:col>
      <xdr:colOff>4330</xdr:colOff>
      <xdr:row>25</xdr:row>
      <xdr:rowOff>136814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5C526E-D910-4F62-A71C-7382A6C7B8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11</xdr:row>
      <xdr:rowOff>0</xdr:rowOff>
    </xdr:from>
    <xdr:to>
      <xdr:col>15</xdr:col>
      <xdr:colOff>277091</xdr:colOff>
      <xdr:row>25</xdr:row>
      <xdr:rowOff>136814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5B9B039-9EE8-4714-9F4A-E543DA6ED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9525</xdr:colOff>
      <xdr:row>25</xdr:row>
      <xdr:rowOff>142875</xdr:rowOff>
    </xdr:from>
    <xdr:to>
      <xdr:col>8</xdr:col>
      <xdr:colOff>13855</xdr:colOff>
      <xdr:row>40</xdr:row>
      <xdr:rowOff>93518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4AE5D68E-2FA3-4C1B-A39C-CA9BF6AEA4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9525</xdr:colOff>
      <xdr:row>25</xdr:row>
      <xdr:rowOff>142875</xdr:rowOff>
    </xdr:from>
    <xdr:to>
      <xdr:col>15</xdr:col>
      <xdr:colOff>286616</xdr:colOff>
      <xdr:row>40</xdr:row>
      <xdr:rowOff>93518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C44D7EB3-7AF9-4589-92DD-F06DBCFFA0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E8B1A-42DA-4A94-99C2-DB8131D7C577}">
  <dimension ref="A2:F14"/>
  <sheetViews>
    <sheetView workbookViewId="0">
      <selection activeCell="F6" sqref="F6"/>
    </sheetView>
  </sheetViews>
  <sheetFormatPr defaultRowHeight="15" x14ac:dyDescent="0.25"/>
  <cols>
    <col min="1" max="1" width="22.7109375" bestFit="1" customWidth="1"/>
    <col min="2" max="2" width="19.42578125" customWidth="1"/>
    <col min="3" max="6" width="19.85546875" bestFit="1" customWidth="1"/>
  </cols>
  <sheetData>
    <row r="2" spans="1:6" ht="24.75" x14ac:dyDescent="0.5">
      <c r="A2" s="27" t="s">
        <v>12</v>
      </c>
      <c r="B2" s="28"/>
      <c r="C2" s="28"/>
      <c r="D2" s="28"/>
      <c r="E2" s="28"/>
      <c r="F2" s="28"/>
    </row>
    <row r="3" spans="1:6" x14ac:dyDescent="0.25">
      <c r="A3" s="29" t="s">
        <v>13</v>
      </c>
      <c r="B3" s="29"/>
      <c r="C3" s="29"/>
      <c r="D3" s="29"/>
      <c r="E3" s="29"/>
      <c r="F3" s="29"/>
    </row>
    <row r="4" spans="1:6" x14ac:dyDescent="0.25">
      <c r="A4" s="1" t="s">
        <v>14</v>
      </c>
      <c r="B4" s="1"/>
      <c r="C4" s="1"/>
    </row>
    <row r="6" spans="1:6" x14ac:dyDescent="0.25">
      <c r="A6" s="37" t="s">
        <v>0</v>
      </c>
      <c r="B6" s="37" t="s">
        <v>1</v>
      </c>
      <c r="C6" s="37" t="s">
        <v>15</v>
      </c>
      <c r="D6" s="37" t="s">
        <v>3</v>
      </c>
      <c r="E6" s="37" t="s">
        <v>16</v>
      </c>
      <c r="F6" s="38" t="s">
        <v>17</v>
      </c>
    </row>
    <row r="7" spans="1:6" x14ac:dyDescent="0.25">
      <c r="A7" s="39" t="s">
        <v>6</v>
      </c>
      <c r="B7" s="40">
        <v>249795</v>
      </c>
      <c r="C7" s="40">
        <v>278454</v>
      </c>
      <c r="D7" s="40">
        <v>345967</v>
      </c>
      <c r="E7" s="40">
        <v>434016</v>
      </c>
      <c r="F7" s="41">
        <v>439695</v>
      </c>
    </row>
    <row r="8" spans="1:6" x14ac:dyDescent="0.25">
      <c r="A8" s="42" t="s">
        <v>7</v>
      </c>
      <c r="B8" s="43">
        <v>30397</v>
      </c>
      <c r="C8" s="43">
        <v>26721</v>
      </c>
      <c r="D8" s="43">
        <v>34796</v>
      </c>
      <c r="E8" s="43">
        <v>62800</v>
      </c>
      <c r="F8" s="44">
        <v>57600</v>
      </c>
    </row>
    <row r="9" spans="1:6" x14ac:dyDescent="0.25">
      <c r="A9" s="45" t="s">
        <v>8</v>
      </c>
      <c r="B9" s="46">
        <v>6471</v>
      </c>
      <c r="C9" s="46">
        <v>1949</v>
      </c>
      <c r="D9" s="46">
        <v>17304</v>
      </c>
      <c r="E9" s="46">
        <v>36000</v>
      </c>
      <c r="F9" s="47">
        <v>34700</v>
      </c>
    </row>
    <row r="10" spans="1:6" x14ac:dyDescent="0.25">
      <c r="A10" s="42" t="s">
        <v>9</v>
      </c>
      <c r="B10" s="43">
        <v>-13395.1</v>
      </c>
      <c r="C10" s="43">
        <v>-11411</v>
      </c>
      <c r="D10" s="43">
        <v>2690</v>
      </c>
      <c r="E10" s="43">
        <v>31807</v>
      </c>
      <c r="F10" s="44">
        <v>28149</v>
      </c>
    </row>
    <row r="11" spans="1:6" x14ac:dyDescent="0.25">
      <c r="A11" s="45" t="s">
        <v>18</v>
      </c>
      <c r="B11" s="48">
        <v>343125.8</v>
      </c>
      <c r="C11" s="46">
        <v>330620</v>
      </c>
      <c r="D11" s="46">
        <v>365725</v>
      </c>
      <c r="E11" s="46">
        <v>370664</v>
      </c>
      <c r="F11" s="47">
        <v>378642</v>
      </c>
    </row>
    <row r="12" spans="1:6" x14ac:dyDescent="0.25">
      <c r="A12" s="42" t="s">
        <v>10</v>
      </c>
      <c r="B12" s="43">
        <v>135905</v>
      </c>
      <c r="C12" s="43">
        <v>139677</v>
      </c>
      <c r="D12" s="43">
        <v>130354</v>
      </c>
      <c r="E12" s="43">
        <v>109937</v>
      </c>
      <c r="F12" s="44">
        <v>62499</v>
      </c>
    </row>
    <row r="13" spans="1:6" x14ac:dyDescent="0.25">
      <c r="A13" s="45" t="s">
        <v>19</v>
      </c>
      <c r="B13" s="46">
        <v>56820</v>
      </c>
      <c r="C13" s="46">
        <v>44832</v>
      </c>
      <c r="D13" s="46">
        <v>68273</v>
      </c>
      <c r="E13" s="46">
        <v>93094</v>
      </c>
      <c r="F13" s="47">
        <v>122754</v>
      </c>
    </row>
    <row r="14" spans="1:6" x14ac:dyDescent="0.25">
      <c r="A14" s="34" t="s">
        <v>11</v>
      </c>
      <c r="B14" s="49">
        <v>-39.06</v>
      </c>
      <c r="C14" s="35">
        <v>-4.54</v>
      </c>
      <c r="D14" s="50">
        <v>6.29</v>
      </c>
      <c r="E14" s="50">
        <v>81.95</v>
      </c>
      <c r="F14" s="51">
        <v>78.8</v>
      </c>
    </row>
  </sheetData>
  <mergeCells count="2">
    <mergeCell ref="A2:F2"/>
    <mergeCell ref="A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C10FC-BE86-4171-B8A5-1B6E6DAC7A0B}">
  <dimension ref="A1:F12"/>
  <sheetViews>
    <sheetView workbookViewId="0">
      <pane ySplit="3" topLeftCell="A4" activePane="bottomLeft" state="frozen"/>
      <selection pane="bottomLeft" activeCell="E17" sqref="E17"/>
    </sheetView>
  </sheetViews>
  <sheetFormatPr defaultRowHeight="15" x14ac:dyDescent="0.25"/>
  <cols>
    <col min="1" max="1" width="22.5703125" customWidth="1"/>
    <col min="2" max="2" width="9.28515625" customWidth="1"/>
    <col min="3" max="3" width="9.85546875" customWidth="1"/>
    <col min="4" max="4" width="13.85546875" customWidth="1"/>
    <col min="5" max="5" width="13.28515625" customWidth="1"/>
    <col min="6" max="6" width="15.85546875" customWidth="1"/>
  </cols>
  <sheetData>
    <row r="1" spans="1:6" ht="24.75" x14ac:dyDescent="0.5">
      <c r="A1" s="30" t="s">
        <v>31</v>
      </c>
      <c r="B1" s="31"/>
      <c r="C1" s="31"/>
      <c r="D1" s="31"/>
      <c r="E1" s="31"/>
      <c r="F1" s="31"/>
    </row>
    <row r="2" spans="1:6" x14ac:dyDescent="0.25">
      <c r="A2" s="1" t="s">
        <v>30</v>
      </c>
      <c r="B2" s="1"/>
      <c r="C2" s="1"/>
      <c r="D2" s="1"/>
    </row>
    <row r="3" spans="1:6" x14ac:dyDescent="0.25">
      <c r="A3" s="4" t="s">
        <v>20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</row>
    <row r="4" spans="1:6" x14ac:dyDescent="0.25">
      <c r="A4" s="3" t="s">
        <v>21</v>
      </c>
      <c r="B4" s="6" t="s">
        <v>22</v>
      </c>
      <c r="C4" s="5">
        <f>'raw data'!C7/'raw data'!B7-1</f>
        <v>0.11473007866450491</v>
      </c>
      <c r="D4" s="5">
        <f>'raw data'!D7/'raw data'!C7-1</f>
        <v>0.24245656374122837</v>
      </c>
      <c r="E4" s="5">
        <f>'raw data'!E7/'raw data'!D7-1</f>
        <v>0.25450115184396194</v>
      </c>
      <c r="F4" s="5">
        <f>'raw data'!F7/'raw data'!E7-1</f>
        <v>1.3084771068347711E-2</v>
      </c>
    </row>
    <row r="5" spans="1:6" x14ac:dyDescent="0.25">
      <c r="A5" s="3" t="s">
        <v>23</v>
      </c>
      <c r="B5" s="6">
        <f>'raw data'!B8/'raw data'!B7</f>
        <v>0.12168778398286595</v>
      </c>
      <c r="C5" s="5">
        <f>'raw data'!C8/'raw data'!C7</f>
        <v>9.5961990131224542E-2</v>
      </c>
      <c r="D5" s="5">
        <f>'raw data'!D8/'raw data'!D7</f>
        <v>0.10057606650345265</v>
      </c>
      <c r="E5" s="5">
        <f>'raw data'!E8/'raw data'!E7</f>
        <v>0.14469512644695126</v>
      </c>
      <c r="F5" s="5">
        <f>'raw data'!F8/'raw data'!F7</f>
        <v>0.13099989765632997</v>
      </c>
    </row>
    <row r="6" spans="1:6" x14ac:dyDescent="0.25">
      <c r="A6" s="3" t="s">
        <v>24</v>
      </c>
      <c r="B6" s="6">
        <f>'raw data'!B9/'raw data'!B7</f>
        <v>2.5905242298684922E-2</v>
      </c>
      <c r="C6" s="5">
        <f>'raw data'!C9/'raw data'!C7</f>
        <v>6.9993607561751672E-3</v>
      </c>
      <c r="D6" s="5">
        <f>'raw data'!D9/'raw data'!D7</f>
        <v>5.001633103735327E-2</v>
      </c>
      <c r="E6" s="5">
        <f>'raw data'!E9/'raw data'!E7</f>
        <v>8.2946250829462512E-2</v>
      </c>
      <c r="F6" s="5">
        <f>'raw data'!F9/'raw data'!F7</f>
        <v>7.8918341122823782E-2</v>
      </c>
    </row>
    <row r="7" spans="1:6" x14ac:dyDescent="0.25">
      <c r="A7" s="3" t="s">
        <v>25</v>
      </c>
      <c r="B7" s="6">
        <f>'raw data'!B10/'raw data'!$B7</f>
        <v>-5.3624371985027723E-2</v>
      </c>
      <c r="C7" s="6">
        <f>'raw data'!C10/'raw data'!$C7</f>
        <v>-4.0979838680715669E-2</v>
      </c>
      <c r="D7" s="6">
        <f>'raw data'!D10/'raw data'!$D7</f>
        <v>7.7753080496116679E-3</v>
      </c>
      <c r="E7" s="6">
        <f>'raw data'!E10/'raw data'!$E7</f>
        <v>7.3285316670353165E-2</v>
      </c>
      <c r="F7" s="6">
        <f>'raw data'!F10/'raw data'!$F7</f>
        <v>6.4019377068194994E-2</v>
      </c>
    </row>
    <row r="8" spans="1:6" x14ac:dyDescent="0.25">
      <c r="A8" s="3" t="s">
        <v>26</v>
      </c>
      <c r="B8" s="6">
        <f>'raw data'!B10/'raw data'!B11</f>
        <v>-3.9038451786487641E-2</v>
      </c>
      <c r="C8" s="6">
        <f>'raw data'!C10/'raw data'!C11</f>
        <v>-3.4513943500090738E-2</v>
      </c>
      <c r="D8" s="6">
        <f>'raw data'!D10/'raw data'!D11</f>
        <v>7.3552532640645298E-3</v>
      </c>
      <c r="E8" s="6">
        <f>'raw data'!E10/'raw data'!E11</f>
        <v>8.5810869142943474E-2</v>
      </c>
      <c r="F8" s="6">
        <f>'raw data'!F10/'raw data'!F11</f>
        <v>7.434199058741503E-2</v>
      </c>
    </row>
    <row r="9" spans="1:6" x14ac:dyDescent="0.25">
      <c r="A9" s="3" t="s">
        <v>27</v>
      </c>
      <c r="B9" s="6">
        <f>'raw data'!B10/'raw data'!B13</f>
        <v>-0.23574621612108412</v>
      </c>
      <c r="C9" s="6">
        <f>'raw data'!C10/'raw data'!C13</f>
        <v>-0.25452801570306921</v>
      </c>
      <c r="D9" s="6">
        <f>'raw data'!D10/'raw data'!D13</f>
        <v>3.9400641542044437E-2</v>
      </c>
      <c r="E9" s="6">
        <f>'raw data'!E10/'raw data'!E13</f>
        <v>0.34166541345306894</v>
      </c>
      <c r="F9" s="6">
        <f>'raw data'!F10/'raw data'!F13</f>
        <v>0.22931228310279095</v>
      </c>
    </row>
    <row r="10" spans="1:6" x14ac:dyDescent="0.25">
      <c r="A10" s="3" t="s">
        <v>28</v>
      </c>
      <c r="B10" s="7">
        <f>'raw data'!B12/'raw data'!B13</f>
        <v>2.3918514607532559</v>
      </c>
      <c r="C10" s="7">
        <f>'raw data'!C12/'raw data'!C13</f>
        <v>3.1155647751605997</v>
      </c>
      <c r="D10" s="7">
        <f>'raw data'!D12/'raw data'!D13</f>
        <v>1.909305289060097</v>
      </c>
      <c r="E10" s="7">
        <f>'raw data'!E12/'raw data'!E13</f>
        <v>1.1809246567985048</v>
      </c>
      <c r="F10" s="7">
        <f>'raw data'!F12/'raw data'!F13</f>
        <v>0.50914023168287792</v>
      </c>
    </row>
    <row r="11" spans="1:6" x14ac:dyDescent="0.25">
      <c r="A11" s="3" t="s">
        <v>29</v>
      </c>
      <c r="B11" s="6" t="s">
        <v>22</v>
      </c>
      <c r="C11" s="2">
        <f>('raw data'!C14-'raw data'!B14)-1</f>
        <v>33.520000000000003</v>
      </c>
      <c r="D11" s="8">
        <f>('raw data'!D14-'raw data'!C14)-1</f>
        <v>9.83</v>
      </c>
      <c r="E11" s="8">
        <f>('raw data'!E14-'raw data'!D14)-1</f>
        <v>74.66</v>
      </c>
      <c r="F11" s="8">
        <f>('raw data'!F14-'raw data'!E14)-1</f>
        <v>-4.1500000000000057</v>
      </c>
    </row>
    <row r="12" spans="1:6" x14ac:dyDescent="0.25">
      <c r="A12" s="3" t="s">
        <v>44</v>
      </c>
      <c r="B12" s="7">
        <f>'raw data'!$B12/'raw data'!B8</f>
        <v>4.4710004276737836</v>
      </c>
      <c r="C12" s="7">
        <f>'raw data'!$C12/'raw data'!C8</f>
        <v>5.2272370046031211</v>
      </c>
      <c r="D12" s="7">
        <f>'raw data'!$D12/'raw data'!D8</f>
        <v>3.7462351994482126</v>
      </c>
      <c r="E12" s="7">
        <f>'raw data'!$E12/'raw data'!E8</f>
        <v>1.7505891719745224</v>
      </c>
      <c r="F12" s="7">
        <f>'raw data'!$F12/'raw data'!F8</f>
        <v>1.0850520833333333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85C83-24D9-405C-B104-B185ABBA2F89}">
  <dimension ref="C1:N3"/>
  <sheetViews>
    <sheetView zoomScale="44" zoomScaleNormal="44" workbookViewId="0">
      <selection activeCell="AA19" sqref="AA19"/>
    </sheetView>
  </sheetViews>
  <sheetFormatPr defaultRowHeight="15" x14ac:dyDescent="0.25"/>
  <sheetData>
    <row r="1" spans="3:14" x14ac:dyDescent="0.25">
      <c r="C1" s="32" t="s">
        <v>32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3:14" x14ac:dyDescent="0.25"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3:14" x14ac:dyDescent="0.25"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</sheetData>
  <mergeCells count="1">
    <mergeCell ref="C1:N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6BD1C-AB9A-4B03-A2F6-CE7220E0D957}">
  <dimension ref="A2:Q55"/>
  <sheetViews>
    <sheetView showGridLines="0" tabSelected="1" zoomScale="91" zoomScaleNormal="91" workbookViewId="0">
      <selection activeCell="C5" sqref="C5"/>
    </sheetView>
  </sheetViews>
  <sheetFormatPr defaultRowHeight="15" x14ac:dyDescent="0.25"/>
  <cols>
    <col min="1" max="1" width="9.140625" style="9"/>
    <col min="2" max="2" width="13.7109375" style="9" bestFit="1" customWidth="1"/>
    <col min="3" max="3" width="5" style="9" bestFit="1" customWidth="1"/>
    <col min="4" max="4" width="16" style="9" bestFit="1" customWidth="1"/>
    <col min="5" max="5" width="5" style="9" bestFit="1" customWidth="1"/>
    <col min="6" max="6" width="18.140625" style="9" bestFit="1" customWidth="1"/>
    <col min="7" max="7" width="9.140625" style="9"/>
    <col min="8" max="8" width="11" style="9" bestFit="1" customWidth="1"/>
    <col min="9" max="9" width="9.140625" style="9"/>
    <col min="10" max="10" width="16.7109375" style="9" bestFit="1" customWidth="1"/>
    <col min="11" max="11" width="9.140625" style="9"/>
    <col min="12" max="12" width="8.5703125" style="9" bestFit="1" customWidth="1"/>
    <col min="13" max="16384" width="9.140625" style="9"/>
  </cols>
  <sheetData>
    <row r="2" spans="1:13" ht="15" customHeight="1" x14ac:dyDescent="0.25">
      <c r="A2" s="24" t="s">
        <v>45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3" x14ac:dyDescent="0.2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</row>
    <row r="4" spans="1:13" ht="24.75" x14ac:dyDescent="0.5">
      <c r="A4" s="11"/>
      <c r="B4" s="36" t="s">
        <v>46</v>
      </c>
      <c r="C4" s="36"/>
      <c r="D4" s="36"/>
      <c r="E4" s="36"/>
      <c r="F4" s="36"/>
      <c r="G4" s="36"/>
      <c r="H4" s="36"/>
      <c r="I4" s="36"/>
      <c r="J4" s="36"/>
      <c r="K4" s="11"/>
    </row>
    <row r="5" spans="1:13" x14ac:dyDescent="0.25">
      <c r="A5" s="22"/>
      <c r="B5" s="22" t="s">
        <v>38</v>
      </c>
      <c r="C5" s="22" t="s">
        <v>5</v>
      </c>
    </row>
    <row r="6" spans="1:13" x14ac:dyDescent="0.25">
      <c r="B6" s="12" t="s">
        <v>6</v>
      </c>
      <c r="C6" s="13" t="s">
        <v>34</v>
      </c>
      <c r="D6" s="12" t="s">
        <v>33</v>
      </c>
      <c r="E6" s="13" t="s">
        <v>34</v>
      </c>
      <c r="F6" s="17" t="s">
        <v>43</v>
      </c>
      <c r="G6" s="18"/>
      <c r="H6" s="12" t="s">
        <v>36</v>
      </c>
      <c r="I6" s="13"/>
      <c r="J6" s="12" t="s">
        <v>37</v>
      </c>
      <c r="K6" s="13"/>
      <c r="L6" s="12" t="s">
        <v>35</v>
      </c>
      <c r="M6" s="13"/>
    </row>
    <row r="7" spans="1:13" x14ac:dyDescent="0.25">
      <c r="B7" s="19" t="e">
        <f>INDEX('raw data'!$B$7:$F$14,MATCH(dashboard!$B$6,'raw data'!$A$7:$A$14,0),MATCH(dashboard!$C$5,'raw data'!$B$6:$F$6,0))</f>
        <v>#N/A</v>
      </c>
      <c r="C7" s="14"/>
      <c r="D7" s="19">
        <f>'raw data'!F10</f>
        <v>28149</v>
      </c>
      <c r="E7" s="14"/>
      <c r="F7" s="20">
        <f>calculations!F5</f>
        <v>0.13099989765632997</v>
      </c>
      <c r="G7" s="14"/>
      <c r="H7" s="20">
        <f>calculations!F9</f>
        <v>0.22931228310279095</v>
      </c>
      <c r="I7" s="14"/>
      <c r="J7" s="21">
        <f>calculations!F10</f>
        <v>0.50914023168287792</v>
      </c>
      <c r="K7" s="14"/>
      <c r="L7" s="21">
        <f>'raw data'!F14</f>
        <v>78.8</v>
      </c>
      <c r="M7" s="14"/>
    </row>
    <row r="8" spans="1:13" x14ac:dyDescent="0.25">
      <c r="B8" s="15" t="e">
        <f>INDEX('raw data'!$B$7:$F$7,1,MATCH(dashboard!$C$5,'raw data'!$B$6:$F$6,0))</f>
        <v>#N/A</v>
      </c>
      <c r="C8" s="16"/>
      <c r="D8" s="15"/>
      <c r="E8" s="16"/>
      <c r="F8" s="15"/>
      <c r="G8" s="16"/>
      <c r="H8" s="15"/>
      <c r="I8" s="16"/>
      <c r="J8" s="15"/>
      <c r="K8" s="16"/>
      <c r="L8" s="15"/>
      <c r="M8" s="16"/>
    </row>
    <row r="42" spans="2:17" x14ac:dyDescent="0.25">
      <c r="B42" s="23" t="s">
        <v>39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</row>
    <row r="43" spans="2:17" x14ac:dyDescent="0.25"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</row>
    <row r="44" spans="2:17" ht="24.75" customHeight="1" x14ac:dyDescent="0.25">
      <c r="B44" s="25" t="s">
        <v>40</v>
      </c>
      <c r="C44" s="25"/>
      <c r="D44" s="25"/>
      <c r="E44" s="25"/>
      <c r="F44" s="25"/>
      <c r="G44" s="25"/>
      <c r="H44" s="25"/>
      <c r="I44" s="25"/>
      <c r="J44" s="25"/>
      <c r="K44" s="25"/>
      <c r="L44" s="10"/>
      <c r="M44" s="10"/>
      <c r="N44" s="10"/>
      <c r="O44" s="10"/>
      <c r="P44" s="10"/>
      <c r="Q44" s="10"/>
    </row>
    <row r="45" spans="2:17" ht="21" customHeight="1" x14ac:dyDescent="0.25">
      <c r="B45" s="25" t="s">
        <v>41</v>
      </c>
      <c r="C45" s="26"/>
      <c r="D45" s="26"/>
      <c r="E45" s="26"/>
      <c r="F45" s="26"/>
      <c r="G45" s="26"/>
      <c r="J45" s="10"/>
      <c r="K45" s="10"/>
      <c r="L45" s="10"/>
      <c r="M45" s="10"/>
      <c r="N45" s="10"/>
      <c r="O45" s="10"/>
      <c r="P45" s="10"/>
      <c r="Q45" s="10"/>
    </row>
    <row r="46" spans="2:17" ht="21" customHeight="1" x14ac:dyDescent="0.25">
      <c r="B46" s="25" t="s">
        <v>42</v>
      </c>
      <c r="C46" s="25"/>
      <c r="D46" s="25"/>
      <c r="E46" s="25"/>
      <c r="F46" s="25"/>
      <c r="G46" s="25"/>
      <c r="H46" s="25"/>
      <c r="I46" s="10"/>
      <c r="J46" s="10"/>
      <c r="K46" s="10"/>
      <c r="L46" s="10"/>
      <c r="M46" s="10"/>
      <c r="N46" s="10"/>
      <c r="O46" s="10"/>
      <c r="P46" s="10"/>
      <c r="Q46" s="10"/>
    </row>
    <row r="47" spans="2:17" x14ac:dyDescent="0.25"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</row>
    <row r="48" spans="2:17" x14ac:dyDescent="0.25"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</row>
    <row r="49" spans="2:17" x14ac:dyDescent="0.2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</row>
    <row r="50" spans="2:17" x14ac:dyDescent="0.25"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</row>
    <row r="51" spans="2:17" x14ac:dyDescent="0.25"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</row>
    <row r="52" spans="2:17" x14ac:dyDescent="0.25"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</row>
    <row r="53" spans="2:17" x14ac:dyDescent="0.25"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</row>
    <row r="54" spans="2:17" x14ac:dyDescent="0.25"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</row>
    <row r="55" spans="2:17" x14ac:dyDescent="0.25"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</row>
  </sheetData>
  <mergeCells count="5">
    <mergeCell ref="A2:K3"/>
    <mergeCell ref="B44:K44"/>
    <mergeCell ref="B45:G45"/>
    <mergeCell ref="B46:H46"/>
    <mergeCell ref="B4:J4"/>
  </mergeCells>
  <dataValidations count="1">
    <dataValidation type="list" allowBlank="1" showInputMessage="1" showErrorMessage="1" sqref="C5" xr:uid="{9C8F167C-AF54-43F2-9F5E-C7D05DADD81B}">
      <formula1>"FY2021,FY2022,FY2023,FY2024,FY2025"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calculations</vt:lpstr>
      <vt:lpstr>CHARTS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lavina chanchalani</dc:creator>
  <cp:lastModifiedBy>lavina chanchalani</cp:lastModifiedBy>
  <dcterms:created xsi:type="dcterms:W3CDTF">2026-09-26T16:49:53Z</dcterms:created>
  <dcterms:modified xsi:type="dcterms:W3CDTF">2026-09-29T17:15:28Z</dcterms:modified>
</cp:coreProperties>
</file>